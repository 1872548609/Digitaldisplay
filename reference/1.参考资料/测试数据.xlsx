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ong\Desktop\压力传感器\1.参考资料\"/>
    </mc:Choice>
  </mc:AlternateContent>
  <xr:revisionPtr revIDLastSave="0" documentId="13_ncr:1_{23085A57-220A-423C-BB91-E724DB068DC5}" xr6:coauthVersionLast="47" xr6:coauthVersionMax="47" xr10:uidLastSave="{00000000-0000-0000-0000-000000000000}"/>
  <bookViews>
    <workbookView xWindow="-105" yWindow="0" windowWidth="20325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" i="1" l="1"/>
  <c r="K37" i="1"/>
  <c r="J37" i="1"/>
  <c r="G37" i="1" a="1"/>
  <c r="G37" i="1" s="1"/>
  <c r="H37" i="1" a="1"/>
  <c r="H37" i="1" s="1"/>
  <c r="F37" i="1"/>
  <c r="E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<sst xmlns="http://schemas.openxmlformats.org/spreadsheetml/2006/main" count="12" uniqueCount="10">
  <si>
    <t>ad值</t>
    <phoneticPr fontId="1" type="noConversion"/>
  </si>
  <si>
    <t>气压kpa</t>
    <phoneticPr fontId="1" type="noConversion"/>
  </si>
  <si>
    <t>sumx</t>
    <phoneticPr fontId="1" type="noConversion"/>
  </si>
  <si>
    <t>sumy</t>
    <phoneticPr fontId="1" type="noConversion"/>
  </si>
  <si>
    <t>sumxy</t>
    <phoneticPr fontId="1" type="noConversion"/>
  </si>
  <si>
    <t>sumx2</t>
    <phoneticPr fontId="1" type="noConversion"/>
  </si>
  <si>
    <t>n</t>
    <phoneticPr fontId="1" type="noConversion"/>
  </si>
  <si>
    <t>covxy</t>
    <phoneticPr fontId="1" type="noConversion"/>
  </si>
  <si>
    <t>varx</t>
    <phoneticPr fontId="1" type="noConversion"/>
  </si>
  <si>
    <t>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</si>
</sst>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总体拟合曲线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2025371828521432E-2"/>
          <c:y val="0.1864103314652733"/>
          <c:w val="0.86486351706036746"/>
          <c:h val="0.7100495117322716"/>
        </c:manualLayout>
      </c:layout>
      <c:scatterChart>
        <c:scatterStyle val="lineMarker"/>
        <c:varyColors val="0"/>
        <c:ser>
          <c:idx val="0"/>
          <c:order val="0"/>
          <c:tx>
            <c:v>拟合曲线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519326261256536"/>
                  <c:y val="1.48589900500736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395951058104352"/>
                  <c:y val="7.60041252905547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Sheet1!$B$2:$B$36</c:f>
              <c:numCache>
                <c:formatCode>General</c:formatCode>
                <c:ptCount val="35"/>
                <c:pt idx="0">
                  <c:v>3638</c:v>
                </c:pt>
                <c:pt idx="1">
                  <c:v>3567</c:v>
                </c:pt>
                <c:pt idx="2">
                  <c:v>3472</c:v>
                </c:pt>
                <c:pt idx="3">
                  <c:v>3392</c:v>
                </c:pt>
                <c:pt idx="4">
                  <c:v>3302</c:v>
                </c:pt>
                <c:pt idx="5">
                  <c:v>3230</c:v>
                </c:pt>
                <c:pt idx="6">
                  <c:v>3129</c:v>
                </c:pt>
                <c:pt idx="7">
                  <c:v>3040</c:v>
                </c:pt>
                <c:pt idx="8">
                  <c:v>2967</c:v>
                </c:pt>
                <c:pt idx="9">
                  <c:v>2871</c:v>
                </c:pt>
                <c:pt idx="10">
                  <c:v>2800</c:v>
                </c:pt>
                <c:pt idx="11">
                  <c:v>2700</c:v>
                </c:pt>
                <c:pt idx="12">
                  <c:v>2640</c:v>
                </c:pt>
                <c:pt idx="13">
                  <c:v>2538</c:v>
                </c:pt>
                <c:pt idx="14">
                  <c:v>2367</c:v>
                </c:pt>
                <c:pt idx="15">
                  <c:v>2282</c:v>
                </c:pt>
                <c:pt idx="16">
                  <c:v>2203</c:v>
                </c:pt>
                <c:pt idx="17">
                  <c:v>2029</c:v>
                </c:pt>
                <c:pt idx="18">
                  <c:v>1941</c:v>
                </c:pt>
                <c:pt idx="19">
                  <c:v>1851</c:v>
                </c:pt>
                <c:pt idx="20">
                  <c:v>1756</c:v>
                </c:pt>
                <c:pt idx="21">
                  <c:v>1672</c:v>
                </c:pt>
                <c:pt idx="22">
                  <c:v>1585</c:v>
                </c:pt>
                <c:pt idx="23">
                  <c:v>1512</c:v>
                </c:pt>
                <c:pt idx="24">
                  <c:v>1424</c:v>
                </c:pt>
                <c:pt idx="25">
                  <c:v>1344</c:v>
                </c:pt>
                <c:pt idx="26">
                  <c:v>1251</c:v>
                </c:pt>
                <c:pt idx="27">
                  <c:v>1161</c:v>
                </c:pt>
                <c:pt idx="28">
                  <c:v>1083</c:v>
                </c:pt>
                <c:pt idx="29">
                  <c:v>966</c:v>
                </c:pt>
                <c:pt idx="30">
                  <c:v>913</c:v>
                </c:pt>
                <c:pt idx="31">
                  <c:v>825</c:v>
                </c:pt>
                <c:pt idx="32">
                  <c:v>740</c:v>
                </c:pt>
                <c:pt idx="33">
                  <c:v>660</c:v>
                </c:pt>
                <c:pt idx="34">
                  <c:v>594</c:v>
                </c:pt>
              </c:numCache>
            </c:numRef>
          </c:xVal>
          <c:yVal>
            <c:numRef>
              <c:f>Sheet1!$A$2:$A$36</c:f>
              <c:numCache>
                <c:formatCode>General</c:formatCode>
                <c:ptCount val="35"/>
                <c:pt idx="0">
                  <c:v>105.44</c:v>
                </c:pt>
                <c:pt idx="1">
                  <c:v>101.36</c:v>
                </c:pt>
                <c:pt idx="2">
                  <c:v>95.51</c:v>
                </c:pt>
                <c:pt idx="3">
                  <c:v>90.91</c:v>
                </c:pt>
                <c:pt idx="4">
                  <c:v>85.56</c:v>
                </c:pt>
                <c:pt idx="5">
                  <c:v>81.48</c:v>
                </c:pt>
                <c:pt idx="6">
                  <c:v>75.209999999999994</c:v>
                </c:pt>
                <c:pt idx="7">
                  <c:v>70.171999999999997</c:v>
                </c:pt>
                <c:pt idx="8">
                  <c:v>65.89</c:v>
                </c:pt>
                <c:pt idx="9">
                  <c:v>60.31</c:v>
                </c:pt>
                <c:pt idx="10">
                  <c:v>55.95</c:v>
                </c:pt>
                <c:pt idx="11">
                  <c:v>50.06</c:v>
                </c:pt>
                <c:pt idx="12">
                  <c:v>46.47</c:v>
                </c:pt>
                <c:pt idx="13">
                  <c:v>40.603999999999999</c:v>
                </c:pt>
                <c:pt idx="14">
                  <c:v>30.56</c:v>
                </c:pt>
                <c:pt idx="15">
                  <c:v>25.41</c:v>
                </c:pt>
                <c:pt idx="16">
                  <c:v>20.73</c:v>
                </c:pt>
                <c:pt idx="17">
                  <c:v>10.5</c:v>
                </c:pt>
                <c:pt idx="18">
                  <c:v>5.18</c:v>
                </c:pt>
                <c:pt idx="19">
                  <c:v>0.13</c:v>
                </c:pt>
                <c:pt idx="20">
                  <c:v>-5.62</c:v>
                </c:pt>
                <c:pt idx="21">
                  <c:v>-10.63</c:v>
                </c:pt>
                <c:pt idx="22">
                  <c:v>-15.71</c:v>
                </c:pt>
                <c:pt idx="23">
                  <c:v>-20.03</c:v>
                </c:pt>
                <c:pt idx="24">
                  <c:v>-25.25</c:v>
                </c:pt>
                <c:pt idx="25">
                  <c:v>-29.99</c:v>
                </c:pt>
                <c:pt idx="26">
                  <c:v>-35.409999999999997</c:v>
                </c:pt>
                <c:pt idx="27">
                  <c:v>-40.85</c:v>
                </c:pt>
                <c:pt idx="28">
                  <c:v>-45.35</c:v>
                </c:pt>
                <c:pt idx="29">
                  <c:v>-52.3</c:v>
                </c:pt>
                <c:pt idx="30">
                  <c:v>-55.35</c:v>
                </c:pt>
                <c:pt idx="31">
                  <c:v>-60.57</c:v>
                </c:pt>
                <c:pt idx="32">
                  <c:v>-65.58</c:v>
                </c:pt>
                <c:pt idx="33">
                  <c:v>-70.38</c:v>
                </c:pt>
                <c:pt idx="34">
                  <c:v>-74.23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C1-495C-AF43-C225958C9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185231"/>
        <c:axId val="1748187151"/>
      </c:scatterChart>
      <c:valAx>
        <c:axId val="174818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187151"/>
        <c:crosses val="autoZero"/>
        <c:crossBetween val="midCat"/>
        <c:majorUnit val="200"/>
        <c:minorUnit val="10"/>
      </c:valAx>
      <c:valAx>
        <c:axId val="1748187151"/>
        <c:scaling>
          <c:orientation val="minMax"/>
          <c:max val="110"/>
          <c:min val="-1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8185231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拟合2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Sheet1!$B$40:$B$144</c:f>
              <c:numCache>
                <c:formatCode>General</c:formatCode>
                <c:ptCount val="105"/>
                <c:pt idx="0">
                  <c:v>3595</c:v>
                </c:pt>
                <c:pt idx="1">
                  <c:v>3593</c:v>
                </c:pt>
                <c:pt idx="2">
                  <c:v>3592</c:v>
                </c:pt>
                <c:pt idx="3">
                  <c:v>3588</c:v>
                </c:pt>
                <c:pt idx="4">
                  <c:v>3515</c:v>
                </c:pt>
                <c:pt idx="5">
                  <c:v>3513</c:v>
                </c:pt>
                <c:pt idx="6">
                  <c:v>3511</c:v>
                </c:pt>
                <c:pt idx="7">
                  <c:v>3510</c:v>
                </c:pt>
                <c:pt idx="8">
                  <c:v>3509</c:v>
                </c:pt>
                <c:pt idx="9">
                  <c:v>3507</c:v>
                </c:pt>
                <c:pt idx="10">
                  <c:v>3433</c:v>
                </c:pt>
                <c:pt idx="11">
                  <c:v>3430</c:v>
                </c:pt>
                <c:pt idx="12">
                  <c:v>3428</c:v>
                </c:pt>
                <c:pt idx="13">
                  <c:v>3427</c:v>
                </c:pt>
                <c:pt idx="14">
                  <c:v>3426</c:v>
                </c:pt>
                <c:pt idx="15">
                  <c:v>3424</c:v>
                </c:pt>
                <c:pt idx="16">
                  <c:v>3352</c:v>
                </c:pt>
                <c:pt idx="17">
                  <c:v>3350</c:v>
                </c:pt>
                <c:pt idx="18">
                  <c:v>3348</c:v>
                </c:pt>
                <c:pt idx="19">
                  <c:v>3347</c:v>
                </c:pt>
                <c:pt idx="20">
                  <c:v>3345</c:v>
                </c:pt>
                <c:pt idx="21">
                  <c:v>3343</c:v>
                </c:pt>
                <c:pt idx="22">
                  <c:v>3342</c:v>
                </c:pt>
                <c:pt idx="23">
                  <c:v>3268</c:v>
                </c:pt>
                <c:pt idx="24">
                  <c:v>3267</c:v>
                </c:pt>
                <c:pt idx="25">
                  <c:v>3265</c:v>
                </c:pt>
                <c:pt idx="26">
                  <c:v>3263</c:v>
                </c:pt>
                <c:pt idx="27">
                  <c:v>3261</c:v>
                </c:pt>
                <c:pt idx="28">
                  <c:v>3259</c:v>
                </c:pt>
                <c:pt idx="29">
                  <c:v>3186</c:v>
                </c:pt>
                <c:pt idx="30">
                  <c:v>3183</c:v>
                </c:pt>
                <c:pt idx="31">
                  <c:v>3182</c:v>
                </c:pt>
                <c:pt idx="32">
                  <c:v>3181</c:v>
                </c:pt>
                <c:pt idx="33">
                  <c:v>3179</c:v>
                </c:pt>
                <c:pt idx="34">
                  <c:v>3178</c:v>
                </c:pt>
                <c:pt idx="35">
                  <c:v>3103</c:v>
                </c:pt>
                <c:pt idx="36">
                  <c:v>3102</c:v>
                </c:pt>
                <c:pt idx="37">
                  <c:v>3100</c:v>
                </c:pt>
                <c:pt idx="38">
                  <c:v>3099</c:v>
                </c:pt>
                <c:pt idx="39">
                  <c:v>3097</c:v>
                </c:pt>
                <c:pt idx="40">
                  <c:v>3095</c:v>
                </c:pt>
                <c:pt idx="41">
                  <c:v>3021</c:v>
                </c:pt>
                <c:pt idx="42">
                  <c:v>3019</c:v>
                </c:pt>
                <c:pt idx="43">
                  <c:v>3017</c:v>
                </c:pt>
                <c:pt idx="44">
                  <c:v>3016</c:v>
                </c:pt>
                <c:pt idx="45">
                  <c:v>3014</c:v>
                </c:pt>
                <c:pt idx="46">
                  <c:v>3012</c:v>
                </c:pt>
                <c:pt idx="47">
                  <c:v>2939</c:v>
                </c:pt>
                <c:pt idx="48">
                  <c:v>2938</c:v>
                </c:pt>
                <c:pt idx="49">
                  <c:v>2936</c:v>
                </c:pt>
                <c:pt idx="50">
                  <c:v>2934</c:v>
                </c:pt>
                <c:pt idx="51">
                  <c:v>2933</c:v>
                </c:pt>
                <c:pt idx="52">
                  <c:v>2930</c:v>
                </c:pt>
                <c:pt idx="53">
                  <c:v>2857</c:v>
                </c:pt>
                <c:pt idx="54">
                  <c:v>2855</c:v>
                </c:pt>
                <c:pt idx="55">
                  <c:v>2853</c:v>
                </c:pt>
                <c:pt idx="56">
                  <c:v>2851</c:v>
                </c:pt>
                <c:pt idx="57">
                  <c:v>2850</c:v>
                </c:pt>
                <c:pt idx="58">
                  <c:v>2848</c:v>
                </c:pt>
                <c:pt idx="59">
                  <c:v>2774</c:v>
                </c:pt>
                <c:pt idx="60">
                  <c:v>2772</c:v>
                </c:pt>
                <c:pt idx="61">
                  <c:v>2771</c:v>
                </c:pt>
                <c:pt idx="62">
                  <c:v>2769</c:v>
                </c:pt>
                <c:pt idx="63">
                  <c:v>2767</c:v>
                </c:pt>
                <c:pt idx="64">
                  <c:v>2765</c:v>
                </c:pt>
                <c:pt idx="65">
                  <c:v>2692</c:v>
                </c:pt>
                <c:pt idx="66">
                  <c:v>2691</c:v>
                </c:pt>
                <c:pt idx="67">
                  <c:v>2689</c:v>
                </c:pt>
                <c:pt idx="68">
                  <c:v>2687</c:v>
                </c:pt>
                <c:pt idx="69">
                  <c:v>2686</c:v>
                </c:pt>
                <c:pt idx="70">
                  <c:v>2684</c:v>
                </c:pt>
                <c:pt idx="71">
                  <c:v>2610</c:v>
                </c:pt>
                <c:pt idx="72">
                  <c:v>2609</c:v>
                </c:pt>
                <c:pt idx="73">
                  <c:v>2607</c:v>
                </c:pt>
                <c:pt idx="74">
                  <c:v>2606</c:v>
                </c:pt>
                <c:pt idx="75">
                  <c:v>2603</c:v>
                </c:pt>
                <c:pt idx="76">
                  <c:v>2602</c:v>
                </c:pt>
                <c:pt idx="77">
                  <c:v>2526</c:v>
                </c:pt>
                <c:pt idx="78">
                  <c:v>2524</c:v>
                </c:pt>
                <c:pt idx="79">
                  <c:v>2523</c:v>
                </c:pt>
                <c:pt idx="80">
                  <c:v>2521</c:v>
                </c:pt>
                <c:pt idx="81">
                  <c:v>2519</c:v>
                </c:pt>
                <c:pt idx="82">
                  <c:v>2446</c:v>
                </c:pt>
                <c:pt idx="83">
                  <c:v>2444</c:v>
                </c:pt>
                <c:pt idx="84">
                  <c:v>2442</c:v>
                </c:pt>
                <c:pt idx="85">
                  <c:v>2440</c:v>
                </c:pt>
                <c:pt idx="86">
                  <c:v>2438</c:v>
                </c:pt>
                <c:pt idx="87">
                  <c:v>2437</c:v>
                </c:pt>
                <c:pt idx="88">
                  <c:v>2363</c:v>
                </c:pt>
                <c:pt idx="89">
                  <c:v>2361</c:v>
                </c:pt>
                <c:pt idx="90">
                  <c:v>2358</c:v>
                </c:pt>
                <c:pt idx="91">
                  <c:v>2356</c:v>
                </c:pt>
                <c:pt idx="92">
                  <c:v>2355</c:v>
                </c:pt>
                <c:pt idx="93">
                  <c:v>2280</c:v>
                </c:pt>
                <c:pt idx="94">
                  <c:v>2279</c:v>
                </c:pt>
                <c:pt idx="95">
                  <c:v>2277</c:v>
                </c:pt>
                <c:pt idx="96">
                  <c:v>2275</c:v>
                </c:pt>
                <c:pt idx="97">
                  <c:v>2273</c:v>
                </c:pt>
                <c:pt idx="98">
                  <c:v>2272</c:v>
                </c:pt>
                <c:pt idx="99">
                  <c:v>2198</c:v>
                </c:pt>
                <c:pt idx="100">
                  <c:v>2196</c:v>
                </c:pt>
                <c:pt idx="101">
                  <c:v>2194</c:v>
                </c:pt>
                <c:pt idx="102">
                  <c:v>2193</c:v>
                </c:pt>
                <c:pt idx="103">
                  <c:v>2191</c:v>
                </c:pt>
                <c:pt idx="104">
                  <c:v>2190</c:v>
                </c:pt>
              </c:numCache>
            </c:numRef>
          </c:xVal>
          <c:yVal>
            <c:numRef>
              <c:f>Sheet1!$A$40:$A$144</c:f>
              <c:numCache>
                <c:formatCode>General</c:formatCode>
                <c:ptCount val="105"/>
                <c:pt idx="0">
                  <c:v>105.36</c:v>
                </c:pt>
                <c:pt idx="1">
                  <c:v>105.26</c:v>
                </c:pt>
                <c:pt idx="2">
                  <c:v>105.12</c:v>
                </c:pt>
                <c:pt idx="3">
                  <c:v>105.06</c:v>
                </c:pt>
                <c:pt idx="4">
                  <c:v>100.59</c:v>
                </c:pt>
                <c:pt idx="5">
                  <c:v>100.45</c:v>
                </c:pt>
                <c:pt idx="6">
                  <c:v>100.34</c:v>
                </c:pt>
                <c:pt idx="7">
                  <c:v>100.26</c:v>
                </c:pt>
                <c:pt idx="8">
                  <c:v>100.16</c:v>
                </c:pt>
                <c:pt idx="9">
                  <c:v>100.05</c:v>
                </c:pt>
                <c:pt idx="10">
                  <c:v>95.55</c:v>
                </c:pt>
                <c:pt idx="11">
                  <c:v>95.43</c:v>
                </c:pt>
                <c:pt idx="12">
                  <c:v>95.32</c:v>
                </c:pt>
                <c:pt idx="13">
                  <c:v>95.24</c:v>
                </c:pt>
                <c:pt idx="14">
                  <c:v>95.13</c:v>
                </c:pt>
                <c:pt idx="15">
                  <c:v>95.03</c:v>
                </c:pt>
                <c:pt idx="16">
                  <c:v>90.61</c:v>
                </c:pt>
                <c:pt idx="17">
                  <c:v>90.51</c:v>
                </c:pt>
                <c:pt idx="18">
                  <c:v>90.41</c:v>
                </c:pt>
                <c:pt idx="19">
                  <c:v>90.33</c:v>
                </c:pt>
                <c:pt idx="20">
                  <c:v>90.22</c:v>
                </c:pt>
                <c:pt idx="21">
                  <c:v>90.11</c:v>
                </c:pt>
                <c:pt idx="22">
                  <c:v>90.03</c:v>
                </c:pt>
                <c:pt idx="23">
                  <c:v>85.52</c:v>
                </c:pt>
                <c:pt idx="24">
                  <c:v>85.42</c:v>
                </c:pt>
                <c:pt idx="25">
                  <c:v>85.32</c:v>
                </c:pt>
                <c:pt idx="26">
                  <c:v>85.23</c:v>
                </c:pt>
                <c:pt idx="27">
                  <c:v>85.12</c:v>
                </c:pt>
                <c:pt idx="28">
                  <c:v>85.01</c:v>
                </c:pt>
                <c:pt idx="29">
                  <c:v>80.52</c:v>
                </c:pt>
                <c:pt idx="30">
                  <c:v>80.42</c:v>
                </c:pt>
                <c:pt idx="31">
                  <c:v>80.319999999999993</c:v>
                </c:pt>
                <c:pt idx="32">
                  <c:v>80.209999999999994</c:v>
                </c:pt>
                <c:pt idx="33">
                  <c:v>80.11</c:v>
                </c:pt>
                <c:pt idx="34">
                  <c:v>80.03</c:v>
                </c:pt>
                <c:pt idx="35">
                  <c:v>75.510000000000005</c:v>
                </c:pt>
                <c:pt idx="36">
                  <c:v>75.430000000000007</c:v>
                </c:pt>
                <c:pt idx="37">
                  <c:v>75.34</c:v>
                </c:pt>
                <c:pt idx="38">
                  <c:v>75.209999999999994</c:v>
                </c:pt>
                <c:pt idx="39">
                  <c:v>75.12</c:v>
                </c:pt>
                <c:pt idx="40">
                  <c:v>75.02</c:v>
                </c:pt>
                <c:pt idx="41">
                  <c:v>70.510000000000005</c:v>
                </c:pt>
                <c:pt idx="42">
                  <c:v>70.42</c:v>
                </c:pt>
                <c:pt idx="43">
                  <c:v>70.31</c:v>
                </c:pt>
                <c:pt idx="44">
                  <c:v>70.22</c:v>
                </c:pt>
                <c:pt idx="45">
                  <c:v>70.13</c:v>
                </c:pt>
                <c:pt idx="46">
                  <c:v>70.03</c:v>
                </c:pt>
                <c:pt idx="47">
                  <c:v>65.510000000000005</c:v>
                </c:pt>
                <c:pt idx="48">
                  <c:v>65.42</c:v>
                </c:pt>
                <c:pt idx="49">
                  <c:v>65.319999999999993</c:v>
                </c:pt>
                <c:pt idx="50">
                  <c:v>65.23</c:v>
                </c:pt>
                <c:pt idx="51">
                  <c:v>65.12</c:v>
                </c:pt>
                <c:pt idx="52">
                  <c:v>65.03</c:v>
                </c:pt>
                <c:pt idx="53">
                  <c:v>60.51</c:v>
                </c:pt>
                <c:pt idx="54">
                  <c:v>60.43</c:v>
                </c:pt>
                <c:pt idx="55">
                  <c:v>60.32</c:v>
                </c:pt>
                <c:pt idx="56">
                  <c:v>60.21</c:v>
                </c:pt>
                <c:pt idx="57">
                  <c:v>60.13</c:v>
                </c:pt>
                <c:pt idx="58">
                  <c:v>60.03</c:v>
                </c:pt>
                <c:pt idx="59">
                  <c:v>55.51</c:v>
                </c:pt>
                <c:pt idx="60">
                  <c:v>55.42</c:v>
                </c:pt>
                <c:pt idx="61">
                  <c:v>55.32</c:v>
                </c:pt>
                <c:pt idx="62">
                  <c:v>55.23</c:v>
                </c:pt>
                <c:pt idx="63">
                  <c:v>55.12</c:v>
                </c:pt>
                <c:pt idx="64">
                  <c:v>55.01</c:v>
                </c:pt>
                <c:pt idx="65">
                  <c:v>50.55</c:v>
                </c:pt>
                <c:pt idx="66">
                  <c:v>50.43</c:v>
                </c:pt>
                <c:pt idx="67">
                  <c:v>50.33</c:v>
                </c:pt>
                <c:pt idx="68">
                  <c:v>50.21</c:v>
                </c:pt>
                <c:pt idx="69">
                  <c:v>50.14</c:v>
                </c:pt>
                <c:pt idx="70">
                  <c:v>50.01</c:v>
                </c:pt>
                <c:pt idx="71">
                  <c:v>45.51</c:v>
                </c:pt>
                <c:pt idx="72">
                  <c:v>45.42</c:v>
                </c:pt>
                <c:pt idx="73">
                  <c:v>45.32</c:v>
                </c:pt>
                <c:pt idx="74">
                  <c:v>45.23</c:v>
                </c:pt>
                <c:pt idx="75">
                  <c:v>45.13</c:v>
                </c:pt>
                <c:pt idx="76">
                  <c:v>45.03</c:v>
                </c:pt>
                <c:pt idx="77">
                  <c:v>40.43</c:v>
                </c:pt>
                <c:pt idx="78">
                  <c:v>40.31</c:v>
                </c:pt>
                <c:pt idx="79">
                  <c:v>40.22</c:v>
                </c:pt>
                <c:pt idx="80">
                  <c:v>40.119999999999997</c:v>
                </c:pt>
                <c:pt idx="81">
                  <c:v>40.01</c:v>
                </c:pt>
                <c:pt idx="82">
                  <c:v>35.54</c:v>
                </c:pt>
                <c:pt idx="83">
                  <c:v>35.42</c:v>
                </c:pt>
                <c:pt idx="84">
                  <c:v>35.32</c:v>
                </c:pt>
                <c:pt idx="85">
                  <c:v>35.22</c:v>
                </c:pt>
                <c:pt idx="86">
                  <c:v>35.119999999999997</c:v>
                </c:pt>
                <c:pt idx="87">
                  <c:v>35.01</c:v>
                </c:pt>
                <c:pt idx="88">
                  <c:v>30.51</c:v>
                </c:pt>
                <c:pt idx="89">
                  <c:v>30.41</c:v>
                </c:pt>
                <c:pt idx="90">
                  <c:v>30.21</c:v>
                </c:pt>
                <c:pt idx="91">
                  <c:v>30.11</c:v>
                </c:pt>
                <c:pt idx="92">
                  <c:v>30.01</c:v>
                </c:pt>
                <c:pt idx="93">
                  <c:v>25.51</c:v>
                </c:pt>
                <c:pt idx="94">
                  <c:v>25.41</c:v>
                </c:pt>
                <c:pt idx="95">
                  <c:v>25.32</c:v>
                </c:pt>
                <c:pt idx="96">
                  <c:v>25.22</c:v>
                </c:pt>
                <c:pt idx="97">
                  <c:v>25.13</c:v>
                </c:pt>
                <c:pt idx="98">
                  <c:v>25.03</c:v>
                </c:pt>
                <c:pt idx="99">
                  <c:v>20.52</c:v>
                </c:pt>
                <c:pt idx="100">
                  <c:v>20.43</c:v>
                </c:pt>
                <c:pt idx="101">
                  <c:v>20.32</c:v>
                </c:pt>
                <c:pt idx="102">
                  <c:v>20.21</c:v>
                </c:pt>
                <c:pt idx="103">
                  <c:v>20.12</c:v>
                </c:pt>
                <c:pt idx="104">
                  <c:v>20.010000000000002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F-44C2-9E07-3B95DF27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147935"/>
        <c:axId val="603131615"/>
      </c:scatterChart>
      <c:valAx>
        <c:axId val="60314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3131615"/>
        <c:crosses val="autoZero"/>
        <c:crossBetween val="midCat"/>
      </c:valAx>
      <c:valAx>
        <c:axId val="6031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314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8851596675415575"/>
                  <c:y val="0.242127806940799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Sheet1!$M$41:$M$58</c:f>
              <c:numCache>
                <c:formatCode>General</c:formatCode>
                <c:ptCount val="18"/>
                <c:pt idx="1">
                  <c:v>3507</c:v>
                </c:pt>
                <c:pt idx="3">
                  <c:v>3342</c:v>
                </c:pt>
                <c:pt idx="5">
                  <c:v>3186</c:v>
                </c:pt>
                <c:pt idx="7">
                  <c:v>3019</c:v>
                </c:pt>
                <c:pt idx="9">
                  <c:v>2850</c:v>
                </c:pt>
                <c:pt idx="10">
                  <c:v>2689</c:v>
                </c:pt>
                <c:pt idx="13">
                  <c:v>2519</c:v>
                </c:pt>
                <c:pt idx="15">
                  <c:v>2355</c:v>
                </c:pt>
                <c:pt idx="17">
                  <c:v>2190</c:v>
                </c:pt>
              </c:numCache>
            </c:numRef>
          </c:xVal>
          <c:yVal>
            <c:numRef>
              <c:f>Sheet1!$N$41:$N$58</c:f>
              <c:numCache>
                <c:formatCode>General</c:formatCode>
                <c:ptCount val="18"/>
                <c:pt idx="1">
                  <c:v>100.05</c:v>
                </c:pt>
                <c:pt idx="3">
                  <c:v>90.03</c:v>
                </c:pt>
                <c:pt idx="5">
                  <c:v>80.52</c:v>
                </c:pt>
                <c:pt idx="7">
                  <c:v>70.42</c:v>
                </c:pt>
                <c:pt idx="9">
                  <c:v>60.13</c:v>
                </c:pt>
                <c:pt idx="10">
                  <c:v>50.33</c:v>
                </c:pt>
                <c:pt idx="13">
                  <c:v>40.01</c:v>
                </c:pt>
                <c:pt idx="15">
                  <c:v>30.01</c:v>
                </c:pt>
                <c:pt idx="17">
                  <c:v>20.010000000000002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5-4655-93F0-BA70FDAC4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021088"/>
        <c:axId val="1576018208"/>
      </c:scatterChart>
      <c:valAx>
        <c:axId val="157602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018208"/>
        <c:crosses val="autoZero"/>
        <c:crossBetween val="midCat"/>
      </c:valAx>
      <c:valAx>
        <c:axId val="15760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7602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37865</xdr:rowOff>
    </xdr:from>
    <xdr:to>
      <xdr:col>12</xdr:col>
      <xdr:colOff>575420</xdr:colOff>
      <xdr:row>25</xdr:row>
      <xdr:rowOff>22410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A0C17D1-3CA2-20F8-E794-2AECAA273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145677</xdr:colOff>
      <xdr:row>42</xdr:row>
      <xdr:rowOff>169208</xdr:rowOff>
    </xdr:from>
    <xdr:to>
      <xdr:col>9</xdr:col>
      <xdr:colOff>616324</xdr:colOff>
      <xdr:row>58</xdr:row>
      <xdr:rowOff>43702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00F9EC6-F51A-DB83-6263-5ED424395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130968</xdr:colOff>
      <xdr:row>42</xdr:row>
      <xdr:rowOff>45243</xdr:rowOff>
    </xdr:from>
    <xdr:to>
      <xdr:col>22</xdr:col>
      <xdr:colOff>595312</xdr:colOff>
      <xdr:row>57</xdr:row>
      <xdr:rowOff>109537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70A9017-861B-5514-B50C-15529CA16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G36" zoomScale="145" zoomScaleNormal="145" workbookViewId="0">
      <selection activeCell="L40" sqref="L40"/>
    </sheetView>
  </sheetViews>
  <sheetFormatPr defaultRowHeight="14.25" x14ac:dyDescent="0.2"/>
  <cols>
    <col min="2" max="2" width="9.5" customWidth="1"/>
    <col min="28" max="28" width="14.125" customWidth="1"/>
  </cols>
  <sheetData>
    <row r="1" spans="1:5" x14ac:dyDescent="0.2">
      <c r="A1" t="s">
        <v>1</v>
      </c>
      <c r="B1" t="s">
        <v>0</v>
      </c>
      <c r="C1">
        <v>1</v>
      </c>
      <c r="D1">
        <v>2</v>
      </c>
      <c r="E1">
        <v>3</v>
      </c>
    </row>
    <row r="2" spans="1:5" x14ac:dyDescent="0.2">
      <c r="A2">
        <v>105.44</v>
      </c>
      <c r="B2">
        <v>3638</v>
      </c>
    </row>
    <row r="3" spans="1:5" x14ac:dyDescent="0.2">
      <c r="A3">
        <v>101.36</v>
      </c>
      <c r="B3">
        <v>3567</v>
      </c>
    </row>
    <row r="4" spans="1:5" x14ac:dyDescent="0.2">
      <c r="A4">
        <v>95.51</v>
      </c>
      <c r="B4">
        <v>3472</v>
      </c>
    </row>
    <row r="5" spans="1:5" x14ac:dyDescent="0.2">
      <c r="A5">
        <v>90.91</v>
      </c>
      <c r="B5">
        <v>3392</v>
      </c>
    </row>
    <row r="6" spans="1:5" x14ac:dyDescent="0.2">
      <c r="A6">
        <v>85.56</v>
      </c>
      <c r="B6">
        <v>3302</v>
      </c>
    </row>
    <row r="7" spans="1:5" x14ac:dyDescent="0.2">
      <c r="A7">
        <v>81.48</v>
      </c>
      <c r="B7">
        <v>3230</v>
      </c>
    </row>
    <row r="8" spans="1:5" x14ac:dyDescent="0.2">
      <c r="A8">
        <v>75.209999999999994</v>
      </c>
      <c r="B8">
        <v>3129</v>
      </c>
    </row>
    <row r="9" spans="1:5" x14ac:dyDescent="0.2">
      <c r="A9">
        <v>70.171999999999997</v>
      </c>
      <c r="B9">
        <v>3040</v>
      </c>
    </row>
    <row r="10" spans="1:5" x14ac:dyDescent="0.2">
      <c r="A10">
        <v>65.89</v>
      </c>
      <c r="B10">
        <v>2967</v>
      </c>
    </row>
    <row r="11" spans="1:5" x14ac:dyDescent="0.2">
      <c r="A11">
        <v>60.31</v>
      </c>
      <c r="B11">
        <v>2871</v>
      </c>
    </row>
    <row r="12" spans="1:5" x14ac:dyDescent="0.2">
      <c r="A12" s="1">
        <v>55.95</v>
      </c>
      <c r="B12">
        <v>2800</v>
      </c>
    </row>
    <row r="13" spans="1:5" x14ac:dyDescent="0.2">
      <c r="A13">
        <v>50.06</v>
      </c>
      <c r="B13">
        <v>2700</v>
      </c>
    </row>
    <row r="14" spans="1:5" x14ac:dyDescent="0.2">
      <c r="A14">
        <v>46.47</v>
      </c>
      <c r="B14">
        <v>2640</v>
      </c>
    </row>
    <row r="15" spans="1:5" x14ac:dyDescent="0.2">
      <c r="A15">
        <v>40.603999999999999</v>
      </c>
      <c r="B15">
        <v>2538</v>
      </c>
    </row>
    <row r="16" spans="1:5" x14ac:dyDescent="0.2">
      <c r="A16">
        <v>30.56</v>
      </c>
      <c r="B16">
        <v>2367</v>
      </c>
    </row>
    <row r="17" spans="1:2" x14ac:dyDescent="0.2">
      <c r="A17">
        <v>25.41</v>
      </c>
      <c r="B17">
        <v>2282</v>
      </c>
    </row>
    <row r="18" spans="1:2" x14ac:dyDescent="0.2">
      <c r="A18">
        <v>20.73</v>
      </c>
      <c r="B18">
        <v>2203</v>
      </c>
    </row>
    <row r="19" spans="1:2" x14ac:dyDescent="0.2">
      <c r="A19">
        <v>10.5</v>
      </c>
      <c r="B19">
        <v>2029</v>
      </c>
    </row>
    <row r="20" spans="1:2" x14ac:dyDescent="0.2">
      <c r="A20">
        <v>5.18</v>
      </c>
      <c r="B20">
        <v>1941</v>
      </c>
    </row>
    <row r="21" spans="1:2" x14ac:dyDescent="0.2">
      <c r="A21">
        <v>0.13</v>
      </c>
      <c r="B21">
        <v>1851</v>
      </c>
    </row>
    <row r="22" spans="1:2" x14ac:dyDescent="0.2">
      <c r="A22">
        <v>-5.62</v>
      </c>
      <c r="B22">
        <v>1756</v>
      </c>
    </row>
    <row r="23" spans="1:2" x14ac:dyDescent="0.2">
      <c r="A23">
        <v>-10.63</v>
      </c>
      <c r="B23">
        <v>1672</v>
      </c>
    </row>
    <row r="24" spans="1:2" x14ac:dyDescent="0.2">
      <c r="A24">
        <v>-15.71</v>
      </c>
      <c r="B24">
        <v>1585</v>
      </c>
    </row>
    <row r="25" spans="1:2" x14ac:dyDescent="0.2">
      <c r="A25">
        <v>-20.03</v>
      </c>
      <c r="B25">
        <v>1512</v>
      </c>
    </row>
    <row r="26" spans="1:2" x14ac:dyDescent="0.2">
      <c r="A26">
        <v>-25.25</v>
      </c>
      <c r="B26">
        <v>1424</v>
      </c>
    </row>
    <row r="27" spans="1:2" x14ac:dyDescent="0.2">
      <c r="A27">
        <v>-29.99</v>
      </c>
      <c r="B27">
        <v>1344</v>
      </c>
    </row>
    <row r="28" spans="1:2" x14ac:dyDescent="0.2">
      <c r="A28">
        <v>-35.409999999999997</v>
      </c>
      <c r="B28">
        <v>1251</v>
      </c>
    </row>
    <row r="29" spans="1:2" x14ac:dyDescent="0.2">
      <c r="A29">
        <v>-40.85</v>
      </c>
      <c r="B29">
        <v>1161</v>
      </c>
    </row>
    <row r="30" spans="1:2" x14ac:dyDescent="0.2">
      <c r="A30">
        <v>-45.35</v>
      </c>
      <c r="B30">
        <v>1083</v>
      </c>
    </row>
    <row r="31" spans="1:2" x14ac:dyDescent="0.2">
      <c r="A31">
        <v>-52.3</v>
      </c>
      <c r="B31">
        <v>966</v>
      </c>
    </row>
    <row r="32" spans="1:2" x14ac:dyDescent="0.2">
      <c r="A32">
        <v>-55.35</v>
      </c>
      <c r="B32">
        <v>913</v>
      </c>
    </row>
    <row r="33" spans="1:14" x14ac:dyDescent="0.2">
      <c r="A33">
        <v>-60.57</v>
      </c>
      <c r="B33">
        <v>825</v>
      </c>
    </row>
    <row r="34" spans="1:14" x14ac:dyDescent="0.2">
      <c r="A34">
        <v>-65.58</v>
      </c>
      <c r="B34">
        <v>740</v>
      </c>
    </row>
    <row r="35" spans="1:14" x14ac:dyDescent="0.2">
      <c r="A35">
        <v>-70.38</v>
      </c>
      <c r="B35">
        <v>660</v>
      </c>
    </row>
    <row r="36" spans="1:14" x14ac:dyDescent="0.2">
      <c r="A36">
        <v>-74.23</v>
      </c>
      <c r="B36">
        <v>594</v>
      </c>
      <c r="E36" t="s">
        <v>2</v>
      </c>
      <c r="F36" t="s">
        <v>3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</row>
    <row r="37" spans="1:14" x14ac:dyDescent="0.2">
      <c r="E37">
        <f>SUM(M41:M58)</f>
        <v>25657</v>
      </c>
      <c r="F37">
        <f>SUM(N41:N58)</f>
        <v>541.51</v>
      </c>
      <c r="G37" cm="1">
        <f t="array" ref="G37">SUM((M41:M58)*(N41:N58))</f>
        <v>1642878.82</v>
      </c>
      <c r="H37" cm="1">
        <f t="array" ref="H37">SUM((M41:M58)*(M41:M58))</f>
        <v>74773677</v>
      </c>
      <c r="I37">
        <v>18</v>
      </c>
      <c r="J37">
        <f>_xlfn.COVARIANCE.P(M41:M58,N41:N58)</f>
        <v>11017.127283950616</v>
      </c>
      <c r="K37">
        <f>_xlfn.VAR.P(M41:M58)</f>
        <v>181252.3950617284</v>
      </c>
      <c r="L37">
        <f>J37/K37</f>
        <v>6.0783347332864529E-2</v>
      </c>
    </row>
    <row r="39" spans="1:14" x14ac:dyDescent="0.2">
      <c r="A39" t="s">
        <v>1</v>
      </c>
      <c r="B39" t="s">
        <v>0</v>
      </c>
    </row>
    <row r="40" spans="1:14" x14ac:dyDescent="0.2">
      <c r="A40">
        <v>105.36</v>
      </c>
      <c r="B40">
        <v>3595</v>
      </c>
    </row>
    <row r="41" spans="1:14" x14ac:dyDescent="0.2">
      <c r="A41">
        <v>105.26</v>
      </c>
      <c r="B41">
        <v>3593</v>
      </c>
    </row>
    <row r="42" spans="1:14" x14ac:dyDescent="0.2">
      <c r="A42">
        <v>105.12</v>
      </c>
      <c r="B42">
        <v>3592</v>
      </c>
      <c r="M42">
        <v>3507</v>
      </c>
      <c r="N42">
        <v>100.05</v>
      </c>
    </row>
    <row r="43" spans="1:14" x14ac:dyDescent="0.2">
      <c r="A43">
        <v>105.06</v>
      </c>
      <c r="B43">
        <v>3588</v>
      </c>
    </row>
    <row r="44" spans="1:14" x14ac:dyDescent="0.2">
      <c r="A44">
        <v>100.59</v>
      </c>
      <c r="B44">
        <v>3515</v>
      </c>
      <c r="M44">
        <v>3342</v>
      </c>
      <c r="N44">
        <v>90.03</v>
      </c>
    </row>
    <row r="45" spans="1:14" x14ac:dyDescent="0.2">
      <c r="A45">
        <v>100.45</v>
      </c>
      <c r="B45">
        <v>3513</v>
      </c>
    </row>
    <row r="46" spans="1:14" x14ac:dyDescent="0.2">
      <c r="A46">
        <v>100.34</v>
      </c>
      <c r="B46">
        <v>3511</v>
      </c>
      <c r="M46">
        <v>3186</v>
      </c>
      <c r="N46">
        <v>80.52</v>
      </c>
    </row>
    <row r="47" spans="1:14" x14ac:dyDescent="0.2">
      <c r="A47">
        <v>100.26</v>
      </c>
      <c r="B47">
        <v>3510</v>
      </c>
    </row>
    <row r="48" spans="1:14" x14ac:dyDescent="0.2">
      <c r="A48">
        <v>100.16</v>
      </c>
      <c r="B48">
        <v>3509</v>
      </c>
      <c r="M48">
        <v>3019</v>
      </c>
      <c r="N48">
        <v>70.42</v>
      </c>
    </row>
    <row r="49" spans="1:14" x14ac:dyDescent="0.2">
      <c r="A49">
        <v>100.05</v>
      </c>
      <c r="B49">
        <v>3507</v>
      </c>
    </row>
    <row r="50" spans="1:14" x14ac:dyDescent="0.2">
      <c r="A50">
        <v>95.55</v>
      </c>
      <c r="B50">
        <v>3433</v>
      </c>
      <c r="M50">
        <v>2850</v>
      </c>
      <c r="N50">
        <v>60.13</v>
      </c>
    </row>
    <row r="51" spans="1:14" x14ac:dyDescent="0.2">
      <c r="A51">
        <v>95.43</v>
      </c>
      <c r="B51">
        <v>3430</v>
      </c>
      <c r="M51">
        <v>2689</v>
      </c>
      <c r="N51">
        <v>50.33</v>
      </c>
    </row>
    <row r="52" spans="1:14" x14ac:dyDescent="0.2">
      <c r="A52">
        <v>95.32</v>
      </c>
      <c r="B52">
        <v>3428</v>
      </c>
    </row>
    <row r="53" spans="1:14" x14ac:dyDescent="0.2">
      <c r="A53">
        <v>95.24</v>
      </c>
      <c r="B53">
        <v>3427</v>
      </c>
    </row>
    <row r="54" spans="1:14" x14ac:dyDescent="0.2">
      <c r="A54">
        <v>95.13</v>
      </c>
      <c r="B54">
        <v>3426</v>
      </c>
      <c r="M54">
        <v>2519</v>
      </c>
      <c r="N54">
        <v>40.01</v>
      </c>
    </row>
    <row r="55" spans="1:14" x14ac:dyDescent="0.2">
      <c r="A55">
        <v>95.03</v>
      </c>
      <c r="B55">
        <v>3424</v>
      </c>
    </row>
    <row r="56" spans="1:14" x14ac:dyDescent="0.2">
      <c r="A56">
        <v>90.61</v>
      </c>
      <c r="B56">
        <v>3352</v>
      </c>
      <c r="M56">
        <v>2355</v>
      </c>
      <c r="N56">
        <v>30.01</v>
      </c>
    </row>
    <row r="57" spans="1:14" x14ac:dyDescent="0.2">
      <c r="A57">
        <v>90.51</v>
      </c>
      <c r="B57">
        <v>3350</v>
      </c>
    </row>
    <row r="58" spans="1:14" x14ac:dyDescent="0.2">
      <c r="A58">
        <v>90.41</v>
      </c>
      <c r="B58">
        <v>3348</v>
      </c>
      <c r="M58">
        <v>2190</v>
      </c>
      <c r="N58">
        <v>20.010000000000002</v>
      </c>
    </row>
    <row r="59" spans="1:14" x14ac:dyDescent="0.2">
      <c r="A59">
        <v>90.33</v>
      </c>
      <c r="B59">
        <v>3347</v>
      </c>
    </row>
    <row r="60" spans="1:14" x14ac:dyDescent="0.2">
      <c r="A60">
        <v>90.22</v>
      </c>
      <c r="B60">
        <v>3345</v>
      </c>
    </row>
    <row r="61" spans="1:14" x14ac:dyDescent="0.2">
      <c r="A61">
        <v>90.11</v>
      </c>
      <c r="B61">
        <v>3343</v>
      </c>
    </row>
    <row r="62" spans="1:14" x14ac:dyDescent="0.2">
      <c r="A62">
        <v>90.03</v>
      </c>
      <c r="B62">
        <v>3342</v>
      </c>
    </row>
    <row r="63" spans="1:14" x14ac:dyDescent="0.2">
      <c r="A63">
        <v>85.52</v>
      </c>
      <c r="B63">
        <v>3268</v>
      </c>
    </row>
    <row r="64" spans="1:14" x14ac:dyDescent="0.2">
      <c r="A64">
        <v>85.42</v>
      </c>
      <c r="B64">
        <v>3267</v>
      </c>
    </row>
    <row r="65" spans="1:2" x14ac:dyDescent="0.2">
      <c r="A65">
        <v>85.32</v>
      </c>
      <c r="B65">
        <v>3265</v>
      </c>
    </row>
    <row r="66" spans="1:2" x14ac:dyDescent="0.2">
      <c r="A66">
        <v>85.23</v>
      </c>
      <c r="B66">
        <v>3263</v>
      </c>
    </row>
    <row r="67" spans="1:2" x14ac:dyDescent="0.2">
      <c r="A67">
        <v>85.12</v>
      </c>
      <c r="B67">
        <v>3261</v>
      </c>
    </row>
    <row r="68" spans="1:2" x14ac:dyDescent="0.2">
      <c r="A68">
        <v>85.01</v>
      </c>
      <c r="B68">
        <v>3259</v>
      </c>
    </row>
    <row r="69" spans="1:2" x14ac:dyDescent="0.2">
      <c r="A69">
        <v>80.52</v>
      </c>
      <c r="B69">
        <v>3186</v>
      </c>
    </row>
    <row r="70" spans="1:2" x14ac:dyDescent="0.2">
      <c r="A70">
        <v>80.42</v>
      </c>
      <c r="B70">
        <v>3183</v>
      </c>
    </row>
    <row r="71" spans="1:2" x14ac:dyDescent="0.2">
      <c r="A71">
        <v>80.319999999999993</v>
      </c>
      <c r="B71">
        <v>3182</v>
      </c>
    </row>
    <row r="72" spans="1:2" x14ac:dyDescent="0.2">
      <c r="A72">
        <v>80.209999999999994</v>
      </c>
      <c r="B72">
        <v>3181</v>
      </c>
    </row>
    <row r="73" spans="1:2" x14ac:dyDescent="0.2">
      <c r="A73">
        <v>80.11</v>
      </c>
      <c r="B73">
        <v>3179</v>
      </c>
    </row>
    <row r="74" spans="1:2" x14ac:dyDescent="0.2">
      <c r="A74">
        <v>80.03</v>
      </c>
      <c r="B74">
        <v>3178</v>
      </c>
    </row>
    <row r="75" spans="1:2" x14ac:dyDescent="0.2">
      <c r="A75">
        <v>75.510000000000005</v>
      </c>
      <c r="B75">
        <v>3103</v>
      </c>
    </row>
    <row r="76" spans="1:2" x14ac:dyDescent="0.2">
      <c r="A76">
        <v>75.430000000000007</v>
      </c>
      <c r="B76">
        <v>3102</v>
      </c>
    </row>
    <row r="77" spans="1:2" x14ac:dyDescent="0.2">
      <c r="A77">
        <v>75.34</v>
      </c>
      <c r="B77">
        <v>3100</v>
      </c>
    </row>
    <row r="78" spans="1:2" x14ac:dyDescent="0.2">
      <c r="A78">
        <v>75.209999999999994</v>
      </c>
      <c r="B78">
        <v>3099</v>
      </c>
    </row>
    <row r="79" spans="1:2" x14ac:dyDescent="0.2">
      <c r="A79">
        <v>75.12</v>
      </c>
      <c r="B79">
        <v>3097</v>
      </c>
    </row>
    <row r="80" spans="1:2" x14ac:dyDescent="0.2">
      <c r="A80">
        <v>75.02</v>
      </c>
      <c r="B80">
        <v>3095</v>
      </c>
    </row>
    <row r="81" spans="1:2" x14ac:dyDescent="0.2">
      <c r="A81">
        <v>70.510000000000005</v>
      </c>
      <c r="B81">
        <v>3021</v>
      </c>
    </row>
    <row r="82" spans="1:2" x14ac:dyDescent="0.2">
      <c r="A82">
        <v>70.42</v>
      </c>
      <c r="B82">
        <v>3019</v>
      </c>
    </row>
    <row r="83" spans="1:2" x14ac:dyDescent="0.2">
      <c r="A83">
        <v>70.31</v>
      </c>
      <c r="B83">
        <v>3017</v>
      </c>
    </row>
    <row r="84" spans="1:2" x14ac:dyDescent="0.2">
      <c r="A84">
        <v>70.22</v>
      </c>
      <c r="B84">
        <v>3016</v>
      </c>
    </row>
    <row r="85" spans="1:2" x14ac:dyDescent="0.2">
      <c r="A85">
        <v>70.13</v>
      </c>
      <c r="B85">
        <v>3014</v>
      </c>
    </row>
    <row r="86" spans="1:2" x14ac:dyDescent="0.2">
      <c r="A86">
        <v>70.03</v>
      </c>
      <c r="B86">
        <v>3012</v>
      </c>
    </row>
    <row r="87" spans="1:2" x14ac:dyDescent="0.2">
      <c r="A87">
        <v>65.510000000000005</v>
      </c>
      <c r="B87">
        <v>2939</v>
      </c>
    </row>
    <row r="88" spans="1:2" x14ac:dyDescent="0.2">
      <c r="A88">
        <v>65.42</v>
      </c>
      <c r="B88">
        <v>2938</v>
      </c>
    </row>
    <row r="89" spans="1:2" x14ac:dyDescent="0.2">
      <c r="A89">
        <v>65.319999999999993</v>
      </c>
      <c r="B89">
        <v>2936</v>
      </c>
    </row>
    <row r="90" spans="1:2" x14ac:dyDescent="0.2">
      <c r="A90">
        <v>65.23</v>
      </c>
      <c r="B90">
        <v>2934</v>
      </c>
    </row>
    <row r="91" spans="1:2" x14ac:dyDescent="0.2">
      <c r="A91">
        <v>65.12</v>
      </c>
      <c r="B91">
        <v>2933</v>
      </c>
    </row>
    <row r="92" spans="1:2" x14ac:dyDescent="0.2">
      <c r="A92">
        <v>65.03</v>
      </c>
      <c r="B92">
        <v>2930</v>
      </c>
    </row>
    <row r="93" spans="1:2" x14ac:dyDescent="0.2">
      <c r="A93">
        <v>60.51</v>
      </c>
      <c r="B93">
        <v>2857</v>
      </c>
    </row>
    <row r="94" spans="1:2" x14ac:dyDescent="0.2">
      <c r="A94">
        <v>60.43</v>
      </c>
      <c r="B94">
        <v>2855</v>
      </c>
    </row>
    <row r="95" spans="1:2" x14ac:dyDescent="0.2">
      <c r="A95">
        <v>60.32</v>
      </c>
      <c r="B95">
        <v>2853</v>
      </c>
    </row>
    <row r="96" spans="1:2" x14ac:dyDescent="0.2">
      <c r="A96">
        <v>60.21</v>
      </c>
      <c r="B96">
        <v>2851</v>
      </c>
    </row>
    <row r="97" spans="1:2" x14ac:dyDescent="0.2">
      <c r="A97">
        <v>60.13</v>
      </c>
      <c r="B97">
        <v>2850</v>
      </c>
    </row>
    <row r="98" spans="1:2" x14ac:dyDescent="0.2">
      <c r="A98">
        <v>60.03</v>
      </c>
      <c r="B98">
        <v>2848</v>
      </c>
    </row>
    <row r="99" spans="1:2" x14ac:dyDescent="0.2">
      <c r="A99">
        <v>55.51</v>
      </c>
      <c r="B99">
        <v>2774</v>
      </c>
    </row>
    <row r="100" spans="1:2" x14ac:dyDescent="0.2">
      <c r="A100">
        <v>55.42</v>
      </c>
      <c r="B100">
        <v>2772</v>
      </c>
    </row>
    <row r="101" spans="1:2" x14ac:dyDescent="0.2">
      <c r="A101">
        <v>55.32</v>
      </c>
      <c r="B101">
        <v>2771</v>
      </c>
    </row>
    <row r="102" spans="1:2" x14ac:dyDescent="0.2">
      <c r="A102">
        <v>55.23</v>
      </c>
      <c r="B102">
        <v>2769</v>
      </c>
    </row>
    <row r="103" spans="1:2" x14ac:dyDescent="0.2">
      <c r="A103">
        <v>55.12</v>
      </c>
      <c r="B103">
        <v>2767</v>
      </c>
    </row>
    <row r="104" spans="1:2" x14ac:dyDescent="0.2">
      <c r="A104">
        <v>55.01</v>
      </c>
      <c r="B104">
        <v>2765</v>
      </c>
    </row>
    <row r="105" spans="1:2" x14ac:dyDescent="0.2">
      <c r="A105">
        <v>50.55</v>
      </c>
      <c r="B105">
        <v>2692</v>
      </c>
    </row>
    <row r="106" spans="1:2" x14ac:dyDescent="0.2">
      <c r="A106">
        <v>50.43</v>
      </c>
      <c r="B106">
        <v>2691</v>
      </c>
    </row>
    <row r="107" spans="1:2" x14ac:dyDescent="0.2">
      <c r="A107">
        <v>50.33</v>
      </c>
      <c r="B107">
        <v>2689</v>
      </c>
    </row>
    <row r="108" spans="1:2" x14ac:dyDescent="0.2">
      <c r="A108">
        <v>50.21</v>
      </c>
      <c r="B108">
        <v>2687</v>
      </c>
    </row>
    <row r="109" spans="1:2" x14ac:dyDescent="0.2">
      <c r="A109">
        <v>50.14</v>
      </c>
      <c r="B109">
        <v>2686</v>
      </c>
    </row>
    <row r="110" spans="1:2" x14ac:dyDescent="0.2">
      <c r="A110">
        <v>50.01</v>
      </c>
      <c r="B110">
        <v>2684</v>
      </c>
    </row>
    <row r="111" spans="1:2" x14ac:dyDescent="0.2">
      <c r="A111">
        <v>45.51</v>
      </c>
      <c r="B111">
        <v>2610</v>
      </c>
    </row>
    <row r="112" spans="1:2" x14ac:dyDescent="0.2">
      <c r="A112">
        <v>45.42</v>
      </c>
      <c r="B112">
        <v>2609</v>
      </c>
    </row>
    <row r="113" spans="1:2" x14ac:dyDescent="0.2">
      <c r="A113">
        <v>45.32</v>
      </c>
      <c r="B113">
        <v>2607</v>
      </c>
    </row>
    <row r="114" spans="1:2" x14ac:dyDescent="0.2">
      <c r="A114">
        <v>45.23</v>
      </c>
      <c r="B114">
        <v>2606</v>
      </c>
    </row>
    <row r="115" spans="1:2" x14ac:dyDescent="0.2">
      <c r="A115">
        <v>45.13</v>
      </c>
      <c r="B115">
        <v>2603</v>
      </c>
    </row>
    <row r="116" spans="1:2" x14ac:dyDescent="0.2">
      <c r="A116">
        <v>45.03</v>
      </c>
      <c r="B116">
        <v>2602</v>
      </c>
    </row>
    <row r="117" spans="1:2" x14ac:dyDescent="0.2">
      <c r="A117">
        <v>40.43</v>
      </c>
      <c r="B117">
        <v>2526</v>
      </c>
    </row>
    <row r="118" spans="1:2" x14ac:dyDescent="0.2">
      <c r="A118">
        <v>40.31</v>
      </c>
      <c r="B118">
        <v>2524</v>
      </c>
    </row>
    <row r="119" spans="1:2" x14ac:dyDescent="0.2">
      <c r="A119">
        <v>40.22</v>
      </c>
      <c r="B119">
        <v>2523</v>
      </c>
    </row>
    <row r="120" spans="1:2" x14ac:dyDescent="0.2">
      <c r="A120">
        <v>40.119999999999997</v>
      </c>
      <c r="B120">
        <v>2521</v>
      </c>
    </row>
    <row r="121" spans="1:2" x14ac:dyDescent="0.2">
      <c r="A121">
        <v>40.01</v>
      </c>
      <c r="B121">
        <v>2519</v>
      </c>
    </row>
    <row r="122" spans="1:2" x14ac:dyDescent="0.2">
      <c r="A122">
        <v>35.54</v>
      </c>
      <c r="B122">
        <v>2446</v>
      </c>
    </row>
    <row r="123" spans="1:2" x14ac:dyDescent="0.2">
      <c r="A123">
        <v>35.42</v>
      </c>
      <c r="B123">
        <v>2444</v>
      </c>
    </row>
    <row r="124" spans="1:2" x14ac:dyDescent="0.2">
      <c r="A124">
        <v>35.32</v>
      </c>
      <c r="B124">
        <v>2442</v>
      </c>
    </row>
    <row r="125" spans="1:2" x14ac:dyDescent="0.2">
      <c r="A125">
        <v>35.22</v>
      </c>
      <c r="B125">
        <v>2440</v>
      </c>
    </row>
    <row r="126" spans="1:2" x14ac:dyDescent="0.2">
      <c r="A126">
        <v>35.119999999999997</v>
      </c>
      <c r="B126">
        <v>2438</v>
      </c>
    </row>
    <row r="127" spans="1:2" x14ac:dyDescent="0.2">
      <c r="A127">
        <v>35.01</v>
      </c>
      <c r="B127">
        <v>2437</v>
      </c>
    </row>
    <row r="128" spans="1:2" x14ac:dyDescent="0.2">
      <c r="A128">
        <v>30.51</v>
      </c>
      <c r="B128">
        <v>2363</v>
      </c>
    </row>
    <row r="129" spans="1:2" x14ac:dyDescent="0.2">
      <c r="A129">
        <v>30.41</v>
      </c>
      <c r="B129">
        <v>2361</v>
      </c>
    </row>
    <row r="130" spans="1:2" x14ac:dyDescent="0.2">
      <c r="A130">
        <v>30.21</v>
      </c>
      <c r="B130">
        <v>2358</v>
      </c>
    </row>
    <row r="131" spans="1:2" x14ac:dyDescent="0.2">
      <c r="A131">
        <v>30.11</v>
      </c>
      <c r="B131">
        <v>2356</v>
      </c>
    </row>
    <row r="132" spans="1:2" x14ac:dyDescent="0.2">
      <c r="A132">
        <v>30.01</v>
      </c>
      <c r="B132">
        <v>2355</v>
      </c>
    </row>
    <row r="133" spans="1:2" x14ac:dyDescent="0.2">
      <c r="A133">
        <v>25.51</v>
      </c>
      <c r="B133">
        <v>2280</v>
      </c>
    </row>
    <row r="134" spans="1:2" x14ac:dyDescent="0.2">
      <c r="A134">
        <v>25.41</v>
      </c>
      <c r="B134">
        <v>2279</v>
      </c>
    </row>
    <row r="135" spans="1:2" x14ac:dyDescent="0.2">
      <c r="A135">
        <v>25.32</v>
      </c>
      <c r="B135">
        <v>2277</v>
      </c>
    </row>
    <row r="136" spans="1:2" x14ac:dyDescent="0.2">
      <c r="A136">
        <v>25.22</v>
      </c>
      <c r="B136">
        <v>2275</v>
      </c>
    </row>
    <row r="137" spans="1:2" x14ac:dyDescent="0.2">
      <c r="A137">
        <v>25.13</v>
      </c>
      <c r="B137">
        <v>2273</v>
      </c>
    </row>
    <row r="138" spans="1:2" x14ac:dyDescent="0.2">
      <c r="A138">
        <v>25.03</v>
      </c>
      <c r="B138">
        <v>2272</v>
      </c>
    </row>
    <row r="139" spans="1:2" x14ac:dyDescent="0.2">
      <c r="A139">
        <v>20.52</v>
      </c>
      <c r="B139">
        <v>2198</v>
      </c>
    </row>
    <row r="140" spans="1:2" x14ac:dyDescent="0.2">
      <c r="A140">
        <v>20.43</v>
      </c>
      <c r="B140">
        <v>2196</v>
      </c>
    </row>
    <row r="141" spans="1:2" x14ac:dyDescent="0.2">
      <c r="A141">
        <v>20.32</v>
      </c>
      <c r="B141">
        <v>2194</v>
      </c>
    </row>
    <row r="142" spans="1:2" x14ac:dyDescent="0.2">
      <c r="A142">
        <v>20.21</v>
      </c>
      <c r="B142">
        <v>2193</v>
      </c>
    </row>
    <row r="143" spans="1:2" x14ac:dyDescent="0.2">
      <c r="A143">
        <v>20.12</v>
      </c>
      <c r="B143">
        <v>2191</v>
      </c>
    </row>
    <row r="144" spans="1:2" x14ac:dyDescent="0.2">
      <c r="A144">
        <v>20.010000000000002</v>
      </c>
      <c r="B144">
        <v>2190</v>
      </c>
    </row>
  </sheetData>
  <sortState xmlns:xlrd2="http://schemas.microsoft.com/office/spreadsheetml/2017/richdata2" ref="A44:B47">
    <sortCondition descending="1" ref="B47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baocheng long</dc:creator>
  <cp:lastModifiedBy>baocheng long</cp:lastModifiedBy>
  <dcterms:created xsi:type="dcterms:W3CDTF">2015-06-05T18:19:34Z</dcterms:created>
  <dcterms:modified xsi:type="dcterms:W3CDTF">2025-07-28T02:18:57Z</dcterms:modified>
</cp:coreProperties>
</file>